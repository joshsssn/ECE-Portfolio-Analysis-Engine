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hs\Downloads\"/>
    </mc:Choice>
  </mc:AlternateContent>
  <xr:revisionPtr revIDLastSave="0" documentId="8_{1F30AF6A-F44E-4737-9987-A440AC186AC9}" xr6:coauthVersionLast="47" xr6:coauthVersionMax="47" xr10:uidLastSave="{00000000-0000-0000-0000-000000000000}"/>
  <bookViews>
    <workbookView xWindow="-110" yWindow="-110" windowWidth="24220" windowHeight="15500" xr2:uid="{ECAFA60E-2EF6-457C-A071-7812BBA72CC3}"/>
  </bookViews>
  <sheets>
    <sheet name="COR_DC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2" i="1" l="1"/>
  <c r="C131" i="1"/>
  <c r="C130" i="1"/>
  <c r="B126" i="1"/>
  <c r="C125" i="1"/>
  <c r="B125" i="1"/>
  <c r="C124" i="1"/>
  <c r="B124" i="1"/>
  <c r="B119" i="1"/>
  <c r="B118" i="1"/>
  <c r="B115" i="1"/>
  <c r="B114" i="1"/>
  <c r="C110" i="1"/>
  <c r="C109" i="1"/>
  <c r="C108" i="1"/>
  <c r="C104" i="1"/>
  <c r="C103" i="1"/>
  <c r="C102" i="1"/>
  <c r="C101" i="1"/>
  <c r="C100" i="1"/>
  <c r="C99" i="1"/>
  <c r="C95" i="1"/>
  <c r="C94" i="1"/>
  <c r="C93" i="1"/>
  <c r="C92" i="1"/>
  <c r="C91" i="1"/>
  <c r="C90" i="1"/>
  <c r="C89" i="1"/>
  <c r="H85" i="1"/>
  <c r="H84" i="1"/>
  <c r="G84" i="1"/>
  <c r="E84" i="1"/>
  <c r="D84" i="1"/>
  <c r="C84" i="1"/>
  <c r="B84" i="1"/>
  <c r="H83" i="1"/>
  <c r="G83" i="1"/>
  <c r="E83" i="1"/>
  <c r="D83" i="1"/>
  <c r="C83" i="1"/>
  <c r="B83" i="1"/>
  <c r="H82" i="1"/>
  <c r="G82" i="1"/>
  <c r="E82" i="1"/>
  <c r="D82" i="1"/>
  <c r="C82" i="1"/>
  <c r="B82" i="1"/>
  <c r="H81" i="1"/>
  <c r="G81" i="1"/>
  <c r="E81" i="1"/>
  <c r="D81" i="1"/>
  <c r="C81" i="1"/>
  <c r="B81" i="1"/>
  <c r="H80" i="1"/>
  <c r="G80" i="1"/>
  <c r="E80" i="1"/>
  <c r="D80" i="1"/>
  <c r="C80" i="1"/>
  <c r="B80" i="1"/>
  <c r="H79" i="1"/>
  <c r="G79" i="1"/>
  <c r="E79" i="1"/>
  <c r="D79" i="1"/>
  <c r="C79" i="1"/>
  <c r="B79" i="1"/>
  <c r="H78" i="1"/>
  <c r="G78" i="1"/>
  <c r="E78" i="1"/>
  <c r="D78" i="1"/>
  <c r="C78" i="1"/>
  <c r="B78" i="1"/>
  <c r="H77" i="1"/>
  <c r="G77" i="1"/>
  <c r="E77" i="1"/>
  <c r="D77" i="1"/>
  <c r="C77" i="1"/>
  <c r="B77" i="1"/>
  <c r="H76" i="1"/>
  <c r="G76" i="1"/>
  <c r="E76" i="1"/>
  <c r="D76" i="1"/>
  <c r="C76" i="1"/>
  <c r="B76" i="1"/>
  <c r="H75" i="1"/>
  <c r="G75" i="1"/>
  <c r="E75" i="1"/>
  <c r="D75" i="1"/>
  <c r="C75" i="1"/>
  <c r="B75" i="1"/>
  <c r="E74" i="1"/>
  <c r="C70" i="1"/>
  <c r="C69" i="1"/>
  <c r="C68" i="1"/>
  <c r="C64" i="1"/>
  <c r="B64" i="1"/>
  <c r="C63" i="1"/>
  <c r="B63" i="1"/>
  <c r="C62" i="1"/>
  <c r="B62" i="1"/>
  <c r="C58" i="1"/>
  <c r="C57" i="1"/>
  <c r="C56" i="1"/>
  <c r="C55" i="1"/>
  <c r="C51" i="1"/>
  <c r="C50" i="1"/>
  <c r="C49" i="1"/>
  <c r="C48" i="1"/>
  <c r="C47" i="1"/>
  <c r="C42" i="1"/>
  <c r="C41" i="1"/>
  <c r="C39" i="1"/>
  <c r="C38" i="1"/>
  <c r="C37" i="1"/>
  <c r="C36" i="1"/>
  <c r="B32" i="1"/>
</calcChain>
</file>

<file path=xl/sharedStrings.xml><?xml version="1.0" encoding="utf-8"?>
<sst xmlns="http://schemas.openxmlformats.org/spreadsheetml/2006/main" count="202" uniqueCount="163">
  <si>
    <t>DCF VALUATION MODEL - CENCORA INC. (COR)</t>
  </si>
  <si>
    <t>Analysis Date: 2026-02-01 | Analyst: Josh E. SOUSSAN</t>
  </si>
  <si>
    <t>1. MODEL PARAMETERS</t>
  </si>
  <si>
    <t>Risk-Free Rate</t>
  </si>
  <si>
    <t>Equity Risk Premium</t>
  </si>
  <si>
    <t>Tax Rate</t>
  </si>
  <si>
    <t>Terminal Growth Rate</t>
  </si>
  <si>
    <t>Projection Years</t>
  </si>
  <si>
    <t>Max Growth Rate Cap</t>
  </si>
  <si>
    <t>3Y Weight for CAGR</t>
  </si>
  <si>
    <t>5Y/Fallback Weight</t>
  </si>
  <si>
    <t>2. BASIC COMPANY DATA (yfinance)</t>
  </si>
  <si>
    <t>Ticker</t>
  </si>
  <si>
    <t>COR</t>
  </si>
  <si>
    <t>Company Name</t>
  </si>
  <si>
    <t>Cencora, Inc.</t>
  </si>
  <si>
    <t>Current Stock Price ($)</t>
  </si>
  <si>
    <t>Shares Outstanding</t>
  </si>
  <si>
    <t>Market Cap ($)</t>
  </si>
  <si>
    <t>Beta</t>
  </si>
  <si>
    <t>3. HISTORICAL FINANCIALS</t>
  </si>
  <si>
    <t>Fiscal Year</t>
  </si>
  <si>
    <t>FY 2022</t>
  </si>
  <si>
    <t>FY 2023</t>
  </si>
  <si>
    <t>FY 2024</t>
  </si>
  <si>
    <t>FY 2025</t>
  </si>
  <si>
    <t>Total Revenue ($)</t>
  </si>
  <si>
    <t>EBIT ($)</t>
  </si>
  <si>
    <t>Interest Expense ($)</t>
  </si>
  <si>
    <t>Free Cash Flow ($)</t>
  </si>
  <si>
    <t>4. BALANCE SHEET DATA</t>
  </si>
  <si>
    <t>Total Debt ($)</t>
  </si>
  <si>
    <t>Cash &amp; Equivalents ($)</t>
  </si>
  <si>
    <t>Net Debt ($) = Debt - Cash</t>
  </si>
  <si>
    <t>5. GROWTH RATE CALCULATION</t>
  </si>
  <si>
    <t>Step</t>
  </si>
  <si>
    <t>Formula</t>
  </si>
  <si>
    <t>Result</t>
  </si>
  <si>
    <t>Revenue FY 2022</t>
  </si>
  <si>
    <t>Input</t>
  </si>
  <si>
    <t>Revenue FY 2025</t>
  </si>
  <si>
    <t>Ratio (FY25 / FY22)</t>
  </si>
  <si>
    <t>End / Start</t>
  </si>
  <si>
    <t>CAGR 3-Year</t>
  </si>
  <si>
    <t>(Ratio)^(1/3) - 1</t>
  </si>
  <si>
    <t>yfinance revenueGrowth (fallback)</t>
  </si>
  <si>
    <t>API data</t>
  </si>
  <si>
    <t>Weighted Average Growth</t>
  </si>
  <si>
    <t>(60% x 3Y) + (40% x fallback)</t>
  </si>
  <si>
    <t>FINAL GROWTH RATE (capped at 10%)</t>
  </si>
  <si>
    <t>MIN(weighted, 10%)</t>
  </si>
  <si>
    <t>6. WACC CALCULATION</t>
  </si>
  <si>
    <t>6A. COST OF EQUITY (CAPM)</t>
  </si>
  <si>
    <t>Component</t>
  </si>
  <si>
    <t>Rf</t>
  </si>
  <si>
    <t>B</t>
  </si>
  <si>
    <t>ERP</t>
  </si>
  <si>
    <t>Beta x ERP</t>
  </si>
  <si>
    <t>B x ERP</t>
  </si>
  <si>
    <t>COST OF EQUITY</t>
  </si>
  <si>
    <t>Rf + B x ERP</t>
  </si>
  <si>
    <t>6B. COST OF DEBT</t>
  </si>
  <si>
    <t>Interest Expense (FY25)</t>
  </si>
  <si>
    <t>From data</t>
  </si>
  <si>
    <t>Total Debt</t>
  </si>
  <si>
    <t>Pre-tax Cost of Debt</t>
  </si>
  <si>
    <t>Interest / Debt</t>
  </si>
  <si>
    <t>AFTER-TAX COST OF DEBT</t>
  </si>
  <si>
    <t>Pre-tax x (1 - Tax)</t>
  </si>
  <si>
    <t>6C. CAPITAL STRUCTURE</t>
  </si>
  <si>
    <t>Value ($)</t>
  </si>
  <si>
    <t>Weight</t>
  </si>
  <si>
    <t>Market Cap (Equity)</t>
  </si>
  <si>
    <t>Total Capital</t>
  </si>
  <si>
    <t>6D. FINAL WACC</t>
  </si>
  <si>
    <t>Calculation</t>
  </si>
  <si>
    <t>Equity Component</t>
  </si>
  <si>
    <t>Eq.Wt x Cost of Eq</t>
  </si>
  <si>
    <t>Debt Component</t>
  </si>
  <si>
    <t>Debt.Wt x After-tax</t>
  </si>
  <si>
    <t>WACC</t>
  </si>
  <si>
    <t>Equity + Debt</t>
  </si>
  <si>
    <t>7. 10-YEAR FCF PROJECTIONS (with Growth Decay)</t>
  </si>
  <si>
    <t>Year</t>
  </si>
  <si>
    <t>Decay Factor</t>
  </si>
  <si>
    <t>Adj. Growth</t>
  </si>
  <si>
    <t>Growth (1+g)</t>
  </si>
  <si>
    <t>FCF ($)</t>
  </si>
  <si>
    <t>Disc. Period</t>
  </si>
  <si>
    <t>Disc. Factor</t>
  </si>
  <si>
    <t>PV of FCF ($)</t>
  </si>
  <si>
    <t>Base (FY25)</t>
  </si>
  <si>
    <t>-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</si>
  <si>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</si>
  <si>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</si>
  <si>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</si>
  <si>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</si>
  <si>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</si>
  <si>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</si>
  <si>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</si>
  <si>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</si>
  <si>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</si>
  <si>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</si>
  <si>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SUM OF PV (FCFs)</t>
  </si>
  <si>
    <t>8. TERMINAL VALUE (Gordon Growth)</t>
  </si>
  <si>
    <t>FCF Year 10</t>
  </si>
  <si>
    <t>From projections</t>
  </si>
  <si>
    <t>Terminal Growth (g)</t>
  </si>
  <si>
    <t>Parameter</t>
  </si>
  <si>
    <t>Terminal FCF (Year 11)</t>
  </si>
  <si>
    <t>FCF10 x (1 + g)</t>
  </si>
  <si>
    <t>WACC - g</t>
  </si>
  <si>
    <t>Denominator</t>
  </si>
  <si>
    <t>TERMINAL VALUE</t>
  </si>
  <si>
    <t>TermFCF / (WACC - g)</t>
  </si>
  <si>
    <t>Discount Factor (Yr 10)</t>
  </si>
  <si>
    <t>1/(1+WACC)^10</t>
  </si>
  <si>
    <t>PV OF TERMINAL VALUE</t>
  </si>
  <si>
    <t>TV x Discount Factor</t>
  </si>
  <si>
    <t>9. ENTERPRISE VALUE TO EQUITY VALUE</t>
  </si>
  <si>
    <t>PV of FCFs (Years 1-10)</t>
  </si>
  <si>
    <t>PV of Terminal Value</t>
  </si>
  <si>
    <t>From TV calc</t>
  </si>
  <si>
    <t>ENTERPRISE VALUE</t>
  </si>
  <si>
    <t>PV FCFs + PV TV</t>
  </si>
  <si>
    <t>Less: Total Debt</t>
  </si>
  <si>
    <t>Balance sheet</t>
  </si>
  <si>
    <t>Plus: Cash</t>
  </si>
  <si>
    <t>EQUITY VALUE</t>
  </si>
  <si>
    <t>EV - Debt + Cash</t>
  </si>
  <si>
    <t>10. DCF FAIR VALUE PER SHARE</t>
  </si>
  <si>
    <t>Metric</t>
  </si>
  <si>
    <t>Value</t>
  </si>
  <si>
    <t>Equity Value</t>
  </si>
  <si>
    <t>From bridge</t>
  </si>
  <si>
    <t>DCF FAIR VALUE PER SHARE</t>
  </si>
  <si>
    <t>Equity / Shares</t>
  </si>
  <si>
    <t>11. VALUATION SUMMARY</t>
  </si>
  <si>
    <t>Notes</t>
  </si>
  <si>
    <t>Current Stock Price</t>
  </si>
  <si>
    <t>Market price</t>
  </si>
  <si>
    <t>DCF Base Case Fair Value</t>
  </si>
  <si>
    <t>This model</t>
  </si>
  <si>
    <t>Monte Carlo Mean Fair Value</t>
  </si>
  <si>
    <t>10,000 simulations</t>
  </si>
  <si>
    <t>Monte Carlo Median</t>
  </si>
  <si>
    <t>50th percentile</t>
  </si>
  <si>
    <t>DCF BASE UPSIDE</t>
  </si>
  <si>
    <t>(DCF - Price) / Price</t>
  </si>
  <si>
    <t>MONTE CARLO UPSIDE</t>
  </si>
  <si>
    <t>(MC Mean - Price) / Price</t>
  </si>
  <si>
    <t>Win Probability</t>
  </si>
  <si>
    <t>% MC runs FV &gt; Price</t>
  </si>
  <si>
    <t>12. VALUE COMPONENT BREAKDOWN</t>
  </si>
  <si>
    <t>% of EV</t>
  </si>
  <si>
    <t>Total Enterprise Value</t>
  </si>
  <si>
    <t>13. KEY METRICS &amp; RATIOS</t>
  </si>
  <si>
    <t>FCF Margin (FY25)</t>
  </si>
  <si>
    <t>FCF / Revenue</t>
  </si>
  <si>
    <t>EV / FCF Multiple</t>
  </si>
  <si>
    <t>EV / FCF</t>
  </si>
  <si>
    <t>Debt / Equity</t>
  </si>
  <si>
    <t>Debt / Mkt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</si>
</sst>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€&quot;#,##0.00"/>
    <numFmt numFmtId="165" formatCode="&quot;€&quot;#,##0"/>
    <numFmt numFmtId="166" formatCode="0.000"/>
    <numFmt numFmtId="167" formatCode="0.0000"/>
    <numFmt numFmtId="168" formatCode="0.0%"/>
    <numFmt numFmtId="169" formatCode="0.0\x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/>
    <xf numFmtId="0" fontId="5" fillId="4" borderId="1" xfId="0" applyFont="1" applyFill="1" applyBorder="1"/>
    <xf numFmtId="0" fontId="0" fillId="0" borderId="1" xfId="0" applyBorder="1"/>
    <xf numFmtId="10" fontId="0" fillId="5" borderId="1" xfId="0" applyNumberFormat="1" applyFill="1" applyBorder="1"/>
    <xf numFmtId="0" fontId="0" fillId="5" borderId="1" xfId="0" applyFill="1" applyBorder="1"/>
    <xf numFmtId="164" fontId="0" fillId="5" borderId="1" xfId="0" applyNumberFormat="1" applyFill="1" applyBorder="1"/>
    <xf numFmtId="3" fontId="0" fillId="5" borderId="1" xfId="0" applyNumberFormat="1" applyFill="1" applyBorder="1"/>
    <xf numFmtId="165" fontId="0" fillId="5" borderId="1" xfId="0" applyNumberFormat="1" applyFill="1" applyBorder="1"/>
    <xf numFmtId="166" fontId="0" fillId="5" borderId="1" xfId="0" applyNumberFormat="1" applyFill="1" applyBorder="1"/>
    <xf numFmtId="0" fontId="2" fillId="6" borderId="1" xfId="0" applyFont="1" applyFill="1" applyBorder="1"/>
    <xf numFmtId="165" fontId="0" fillId="0" borderId="1" xfId="0" applyNumberFormat="1" applyBorder="1"/>
    <xf numFmtId="0" fontId="2" fillId="0" borderId="1" xfId="0" applyFont="1" applyBorder="1"/>
    <xf numFmtId="165" fontId="2" fillId="7" borderId="1" xfId="0" applyNumberFormat="1" applyFont="1" applyFill="1" applyBorder="1"/>
    <xf numFmtId="167" fontId="0" fillId="0" borderId="1" xfId="0" applyNumberFormat="1" applyBorder="1"/>
    <xf numFmtId="10" fontId="0" fillId="7" borderId="1" xfId="0" applyNumberFormat="1" applyFill="1" applyBorder="1"/>
    <xf numFmtId="10" fontId="0" fillId="0" borderId="1" xfId="0" applyNumberFormat="1" applyBorder="1"/>
    <xf numFmtId="10" fontId="2" fillId="8" borderId="1" xfId="0" applyNumberFormat="1" applyFont="1" applyFill="1" applyBorder="1"/>
    <xf numFmtId="0" fontId="6" fillId="0" borderId="1" xfId="0" applyFont="1" applyBorder="1"/>
    <xf numFmtId="166" fontId="0" fillId="0" borderId="1" xfId="0" applyNumberFormat="1" applyBorder="1"/>
    <xf numFmtId="165" fontId="2" fillId="8" borderId="1" xfId="0" applyNumberFormat="1" applyFont="1" applyFill="1" applyBorder="1"/>
    <xf numFmtId="165" fontId="2" fillId="0" borderId="1" xfId="0" applyNumberFormat="1" applyFont="1" applyBorder="1"/>
    <xf numFmtId="165" fontId="1" fillId="0" borderId="1" xfId="0" applyNumberFormat="1" applyFont="1" applyBorder="1"/>
    <xf numFmtId="165" fontId="7" fillId="0" borderId="1" xfId="0" applyNumberFormat="1" applyFont="1" applyBorder="1"/>
    <xf numFmtId="3" fontId="0" fillId="0" borderId="1" xfId="0" applyNumberFormat="1" applyBorder="1"/>
    <xf numFmtId="164" fontId="8" fillId="9" borderId="1" xfId="0" applyNumberFormat="1" applyFont="1" applyFill="1" applyBorder="1"/>
    <xf numFmtId="164" fontId="0" fillId="0" borderId="1" xfId="0" applyNumberFormat="1" applyBorder="1"/>
    <xf numFmtId="168" fontId="2" fillId="0" borderId="1" xfId="0" applyNumberFormat="1" applyFont="1" applyBorder="1"/>
    <xf numFmtId="168" fontId="2" fillId="8" borderId="1" xfId="0" applyNumberFormat="1" applyFont="1" applyFill="1" applyBorder="1"/>
    <xf numFmtId="168" fontId="0" fillId="0" borderId="1" xfId="0" applyNumberFormat="1" applyBorder="1"/>
    <xf numFmtId="10" fontId="2" fillId="0" borderId="1" xfId="0" applyNumberFormat="1" applyFont="1" applyBorder="1"/>
    <xf numFmtId="16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F862-4BBA-4AE2-9AAF-A2719411F387}">
  <sheetPr codeName="Sheet1"/>
  <dimension ref="A1:J134"/>
  <sheetViews>
    <sheetView tabSelected="1" zoomScale="78" workbookViewId="0">
      <selection activeCell="J12" sqref="J12"/>
    </sheetView>
  </sheetViews>
  <sheetFormatPr defaultRowHeight="14.5" x14ac:dyDescent="0.35"/>
  <cols>
    <col min="1" max="1" width="42.6328125" customWidth="1"/>
    <col min="2" max="2" width="22.6328125" customWidth="1"/>
    <col min="3" max="3" width="18.6328125" customWidth="1"/>
    <col min="4" max="5" width="16.6328125" customWidth="1"/>
    <col min="6" max="6" width="18.6328125" customWidth="1"/>
    <col min="7" max="7" width="14.6328125" customWidth="1"/>
    <col min="8" max="8" width="15.08984375" bestFit="1" customWidth="1"/>
    <col min="9" max="10" width="18.6328125" customWidth="1"/>
  </cols>
  <sheetData>
    <row r="1" spans="1:10" ht="35" customHeight="1" x14ac:dyDescent="0.5500000000000000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22" customHeight="1" x14ac:dyDescent="0.35">
      <c r="A4" s="5" t="s">
        <v>2</v>
      </c>
      <c r="B4" s="6"/>
      <c r="C4" s="6"/>
      <c r="D4" s="6"/>
      <c r="E4" s="6"/>
      <c r="F4" s="6"/>
      <c r="G4" s="6"/>
      <c r="H4" s="6"/>
      <c r="I4" s="4"/>
      <c r="J4" s="4"/>
    </row>
    <row r="5" spans="1:10" x14ac:dyDescent="0.35">
      <c r="A5" s="4" t="s">
        <v>3</v>
      </c>
      <c r="B5" s="7">
        <v>4.4999999999999998E-2</v>
      </c>
      <c r="C5" s="4"/>
      <c r="D5" s="4"/>
      <c r="E5" s="4"/>
      <c r="F5" s="4"/>
      <c r="G5" s="4"/>
      <c r="H5" s="4"/>
      <c r="I5" s="4"/>
      <c r="J5" s="4"/>
    </row>
    <row r="6" spans="1:10" x14ac:dyDescent="0.35">
      <c r="A6" s="4" t="s">
        <v>4</v>
      </c>
      <c r="B6" s="7">
        <v>0.05</v>
      </c>
      <c r="C6" s="4"/>
      <c r="D6" s="4"/>
      <c r="E6" s="4"/>
      <c r="F6" s="4"/>
      <c r="G6" s="4"/>
      <c r="H6" s="4"/>
      <c r="I6" s="4"/>
      <c r="J6" s="4"/>
    </row>
    <row r="7" spans="1:10" x14ac:dyDescent="0.35">
      <c r="A7" s="4" t="s">
        <v>5</v>
      </c>
      <c r="B7" s="7">
        <v>0.25</v>
      </c>
      <c r="C7" s="4"/>
      <c r="D7" s="4"/>
      <c r="E7" s="4"/>
      <c r="F7" s="4"/>
      <c r="G7" s="4"/>
      <c r="H7" s="4"/>
      <c r="I7" s="4"/>
      <c r="J7" s="4"/>
    </row>
    <row r="8" spans="1:10" x14ac:dyDescent="0.35">
      <c r="A8" s="4" t="s">
        <v>6</v>
      </c>
      <c r="B8" s="7">
        <v>2.5000000000000001E-2</v>
      </c>
      <c r="C8" s="4"/>
      <c r="D8" s="4"/>
      <c r="E8" s="4"/>
      <c r="F8" s="4"/>
      <c r="G8" s="4"/>
      <c r="H8" s="4"/>
      <c r="I8" s="4"/>
      <c r="J8" s="4"/>
    </row>
    <row r="9" spans="1:10" x14ac:dyDescent="0.35">
      <c r="A9" s="4" t="s">
        <v>7</v>
      </c>
      <c r="B9" s="8">
        <v>10</v>
      </c>
      <c r="C9" s="4"/>
      <c r="D9" s="4"/>
      <c r="E9" s="4"/>
      <c r="F9" s="4"/>
      <c r="G9" s="4"/>
      <c r="H9" s="4"/>
      <c r="I9" s="4"/>
      <c r="J9" s="4"/>
    </row>
    <row r="10" spans="1:10" x14ac:dyDescent="0.35">
      <c r="A10" s="4" t="s">
        <v>8</v>
      </c>
      <c r="B10" s="7">
        <v>0.1</v>
      </c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4" t="s">
        <v>9</v>
      </c>
      <c r="B11" s="7">
        <v>0.6</v>
      </c>
      <c r="C11" s="4"/>
      <c r="D11" s="4"/>
      <c r="E11" s="4"/>
      <c r="F11" s="4"/>
      <c r="G11" s="4"/>
      <c r="H11" s="4"/>
      <c r="I11" s="4"/>
      <c r="J11" s="4"/>
    </row>
    <row r="12" spans="1:10" x14ac:dyDescent="0.35">
      <c r="A12" s="4" t="s">
        <v>10</v>
      </c>
      <c r="B12" s="7">
        <v>0.4</v>
      </c>
      <c r="C12" s="4"/>
      <c r="D12" s="4"/>
      <c r="E12" s="4"/>
      <c r="F12" s="4"/>
      <c r="G12" s="4"/>
      <c r="H12" s="4"/>
      <c r="I12" s="4"/>
      <c r="J12" s="4"/>
    </row>
    <row r="13" spans="1:10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22" customHeight="1" x14ac:dyDescent="0.35">
      <c r="A14" s="5" t="s">
        <v>11</v>
      </c>
      <c r="B14" s="6"/>
      <c r="C14" s="6"/>
      <c r="D14" s="6"/>
      <c r="E14" s="6"/>
      <c r="F14" s="6"/>
      <c r="G14" s="6"/>
      <c r="H14" s="6"/>
      <c r="I14" s="4"/>
      <c r="J14" s="4"/>
    </row>
    <row r="15" spans="1:10" x14ac:dyDescent="0.35">
      <c r="A15" s="4" t="s">
        <v>12</v>
      </c>
      <c r="B15" s="4" t="s">
        <v>13</v>
      </c>
      <c r="C15" s="4"/>
      <c r="D15" s="4"/>
      <c r="E15" s="4"/>
      <c r="F15" s="4"/>
      <c r="G15" s="4"/>
      <c r="H15" s="4"/>
      <c r="I15" s="4"/>
      <c r="J15" s="4"/>
    </row>
    <row r="16" spans="1:10" x14ac:dyDescent="0.35">
      <c r="A16" s="4" t="s">
        <v>14</v>
      </c>
      <c r="B16" s="4" t="s">
        <v>15</v>
      </c>
      <c r="C16" s="4"/>
      <c r="D16" s="4"/>
      <c r="E16" s="4"/>
      <c r="F16" s="4"/>
      <c r="G16" s="4"/>
      <c r="H16" s="4"/>
      <c r="I16" s="4"/>
      <c r="J16" s="4"/>
    </row>
    <row r="17" spans="1:10" x14ac:dyDescent="0.35">
      <c r="A17" s="4" t="s">
        <v>16</v>
      </c>
      <c r="B17" s="9">
        <v>359.22</v>
      </c>
      <c r="C17" s="4"/>
      <c r="D17" s="4"/>
      <c r="E17" s="4"/>
      <c r="F17" s="4"/>
      <c r="G17" s="4"/>
      <c r="H17" s="4"/>
      <c r="I17" s="4"/>
      <c r="J17" s="4"/>
    </row>
    <row r="18" spans="1:10" x14ac:dyDescent="0.35">
      <c r="A18" s="4" t="s">
        <v>17</v>
      </c>
      <c r="B18" s="10">
        <v>194526076</v>
      </c>
      <c r="C18" s="4"/>
      <c r="D18" s="4"/>
      <c r="E18" s="4"/>
      <c r="F18" s="4"/>
      <c r="G18" s="4"/>
      <c r="H18" s="4"/>
      <c r="I18" s="4"/>
      <c r="J18" s="4"/>
    </row>
    <row r="19" spans="1:10" x14ac:dyDescent="0.35">
      <c r="A19" s="4" t="s">
        <v>18</v>
      </c>
      <c r="B19" s="11">
        <v>69880000000</v>
      </c>
      <c r="C19" s="4"/>
      <c r="D19" s="4"/>
      <c r="E19" s="4"/>
      <c r="F19" s="4"/>
      <c r="G19" s="4"/>
      <c r="H19" s="4"/>
      <c r="I19" s="4"/>
      <c r="J19" s="4"/>
    </row>
    <row r="20" spans="1:10" x14ac:dyDescent="0.35">
      <c r="A20" s="4" t="s">
        <v>19</v>
      </c>
      <c r="B20" s="12">
        <v>0.66500000000000004</v>
      </c>
      <c r="C20" s="4"/>
      <c r="D20" s="4"/>
      <c r="E20" s="4"/>
      <c r="F20" s="4"/>
      <c r="G20" s="4"/>
      <c r="H20" s="4"/>
      <c r="I20" s="4"/>
      <c r="J20" s="4"/>
    </row>
    <row r="21" spans="1:10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22" customHeight="1" x14ac:dyDescent="0.35">
      <c r="A22" s="5" t="s">
        <v>20</v>
      </c>
      <c r="B22" s="6"/>
      <c r="C22" s="6"/>
      <c r="D22" s="6"/>
      <c r="E22" s="6"/>
      <c r="F22" s="6"/>
      <c r="G22" s="6"/>
      <c r="H22" s="6"/>
      <c r="I22" s="4"/>
      <c r="J22" s="4"/>
    </row>
    <row r="23" spans="1:10" x14ac:dyDescent="0.35">
      <c r="A23" s="13" t="s">
        <v>21</v>
      </c>
      <c r="B23" s="13" t="s">
        <v>22</v>
      </c>
      <c r="C23" s="13" t="s">
        <v>23</v>
      </c>
      <c r="D23" s="13" t="s">
        <v>24</v>
      </c>
      <c r="E23" s="13" t="s">
        <v>25</v>
      </c>
      <c r="F23" s="4"/>
      <c r="G23" s="4"/>
      <c r="H23" s="4"/>
      <c r="I23" s="4"/>
      <c r="J23" s="4"/>
    </row>
    <row r="24" spans="1:10" x14ac:dyDescent="0.35">
      <c r="A24" s="4" t="s">
        <v>26</v>
      </c>
      <c r="B24" s="14">
        <v>238587006000</v>
      </c>
      <c r="C24" s="14">
        <v>262173000000</v>
      </c>
      <c r="D24" s="14">
        <v>293962000000</v>
      </c>
      <c r="E24" s="14">
        <v>321332819000</v>
      </c>
      <c r="F24" s="4"/>
      <c r="G24" s="4"/>
      <c r="H24" s="4"/>
      <c r="I24" s="4"/>
      <c r="J24" s="4"/>
    </row>
    <row r="25" spans="1:10" x14ac:dyDescent="0.35">
      <c r="A25" s="4" t="s">
        <v>27</v>
      </c>
      <c r="B25" s="14">
        <v>2390000000</v>
      </c>
      <c r="C25" s="14">
        <v>2390000000</v>
      </c>
      <c r="D25" s="14">
        <v>2250000000</v>
      </c>
      <c r="E25" s="14">
        <v>2680000000</v>
      </c>
      <c r="F25" s="4"/>
      <c r="G25" s="4"/>
      <c r="H25" s="4"/>
      <c r="I25" s="4"/>
      <c r="J25" s="4"/>
    </row>
    <row r="26" spans="1:10" x14ac:dyDescent="0.35">
      <c r="A26" s="4" t="s">
        <v>28</v>
      </c>
      <c r="B26" s="14">
        <v>211000000</v>
      </c>
      <c r="C26" s="14">
        <v>229000000</v>
      </c>
      <c r="D26" s="14">
        <v>249000000</v>
      </c>
      <c r="E26" s="14">
        <v>419753000</v>
      </c>
      <c r="F26" s="4"/>
      <c r="G26" s="4"/>
      <c r="H26" s="4"/>
      <c r="I26" s="4"/>
      <c r="J26" s="4"/>
    </row>
    <row r="27" spans="1:10" x14ac:dyDescent="0.35">
      <c r="A27" s="4" t="s">
        <v>29</v>
      </c>
      <c r="B27" s="14">
        <v>2210000000</v>
      </c>
      <c r="C27" s="14">
        <v>3450000000</v>
      </c>
      <c r="D27" s="14">
        <v>3000000000</v>
      </c>
      <c r="E27" s="14">
        <v>3207139000</v>
      </c>
      <c r="F27" s="4"/>
      <c r="G27" s="4"/>
      <c r="H27" s="4"/>
      <c r="I27" s="4"/>
      <c r="J27" s="4"/>
    </row>
    <row r="28" spans="1:10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22" customHeight="1" x14ac:dyDescent="0.35">
      <c r="A29" s="5" t="s">
        <v>30</v>
      </c>
      <c r="B29" s="6"/>
      <c r="C29" s="6"/>
      <c r="D29" s="6"/>
      <c r="E29" s="6"/>
      <c r="F29" s="6"/>
      <c r="G29" s="6"/>
      <c r="H29" s="6"/>
      <c r="I29" s="4"/>
      <c r="J29" s="4"/>
    </row>
    <row r="30" spans="1:10" x14ac:dyDescent="0.35">
      <c r="A30" s="4" t="s">
        <v>31</v>
      </c>
      <c r="B30" s="11">
        <v>7660000000</v>
      </c>
      <c r="C30" s="4"/>
      <c r="D30" s="4"/>
      <c r="E30" s="4"/>
      <c r="F30" s="4"/>
      <c r="G30" s="4"/>
      <c r="H30" s="4"/>
      <c r="I30" s="4"/>
      <c r="J30" s="4"/>
    </row>
    <row r="31" spans="1:10" x14ac:dyDescent="0.35">
      <c r="A31" s="4" t="s">
        <v>32</v>
      </c>
      <c r="B31" s="11">
        <v>4360000000</v>
      </c>
      <c r="C31" s="4"/>
      <c r="D31" s="4"/>
      <c r="E31" s="4"/>
      <c r="F31" s="4"/>
      <c r="G31" s="4"/>
      <c r="H31" s="4"/>
      <c r="I31" s="4"/>
      <c r="J31" s="4"/>
    </row>
    <row r="32" spans="1:10" x14ac:dyDescent="0.35">
      <c r="A32" s="15" t="s">
        <v>33</v>
      </c>
      <c r="B32" s="16">
        <f>B30-B31</f>
        <v>3300000000</v>
      </c>
      <c r="C32" s="4"/>
      <c r="D32" s="4"/>
      <c r="E32" s="4"/>
      <c r="F32" s="4"/>
      <c r="G32" s="4"/>
      <c r="H32" s="4"/>
      <c r="I32" s="4"/>
      <c r="J32" s="4"/>
    </row>
    <row r="33" spans="1:10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22" customHeight="1" x14ac:dyDescent="0.35">
      <c r="A34" s="5" t="s">
        <v>34</v>
      </c>
      <c r="B34" s="6"/>
      <c r="C34" s="6"/>
      <c r="D34" s="6"/>
      <c r="E34" s="6"/>
      <c r="F34" s="6"/>
      <c r="G34" s="6"/>
      <c r="H34" s="6"/>
      <c r="I34" s="4"/>
      <c r="J34" s="4"/>
    </row>
    <row r="35" spans="1:10" x14ac:dyDescent="0.35">
      <c r="A35" s="13" t="s">
        <v>35</v>
      </c>
      <c r="B35" s="13" t="s">
        <v>36</v>
      </c>
      <c r="C35" s="13" t="s">
        <v>37</v>
      </c>
      <c r="D35" s="4"/>
      <c r="E35" s="4"/>
      <c r="F35" s="4"/>
      <c r="G35" s="4"/>
      <c r="H35" s="4"/>
      <c r="I35" s="4"/>
      <c r="J35" s="4"/>
    </row>
    <row r="36" spans="1:10" x14ac:dyDescent="0.35">
      <c r="A36" s="4" t="s">
        <v>38</v>
      </c>
      <c r="B36" s="4" t="s">
        <v>39</v>
      </c>
      <c r="C36" s="14">
        <f>B24</f>
        <v>238587006000</v>
      </c>
      <c r="D36" s="4"/>
      <c r="E36" s="4"/>
      <c r="F36" s="4"/>
      <c r="G36" s="4"/>
      <c r="H36" s="4"/>
      <c r="I36" s="4"/>
      <c r="J36" s="4"/>
    </row>
    <row r="37" spans="1:10" x14ac:dyDescent="0.35">
      <c r="A37" s="4" t="s">
        <v>40</v>
      </c>
      <c r="B37" s="4" t="s">
        <v>39</v>
      </c>
      <c r="C37" s="14">
        <f>E24</f>
        <v>321332819000</v>
      </c>
      <c r="D37" s="4"/>
      <c r="E37" s="4"/>
      <c r="F37" s="4"/>
      <c r="G37" s="4"/>
      <c r="H37" s="4"/>
      <c r="I37" s="4"/>
      <c r="J37" s="4"/>
    </row>
    <row r="38" spans="1:10" x14ac:dyDescent="0.35">
      <c r="A38" s="4" t="s">
        <v>41</v>
      </c>
      <c r="B38" s="4" t="s">
        <v>42</v>
      </c>
      <c r="C38" s="17">
        <f>E24/B24</f>
        <v>1.346816091904016</v>
      </c>
      <c r="D38" s="4"/>
      <c r="E38" s="4"/>
      <c r="F38" s="4"/>
      <c r="G38" s="4"/>
      <c r="H38" s="4"/>
      <c r="I38" s="4"/>
      <c r="J38" s="4"/>
    </row>
    <row r="39" spans="1:10" x14ac:dyDescent="0.35">
      <c r="A39" s="4" t="s">
        <v>43</v>
      </c>
      <c r="B39" s="4" t="s">
        <v>44</v>
      </c>
      <c r="C39" s="18">
        <f>(E24/B24)^(1/3)-1</f>
        <v>0.1043399050694318</v>
      </c>
      <c r="D39" s="4"/>
      <c r="E39" s="4"/>
      <c r="F39" s="4"/>
      <c r="G39" s="4"/>
      <c r="H39" s="4"/>
      <c r="I39" s="4"/>
      <c r="J39" s="4"/>
    </row>
    <row r="40" spans="1:10" x14ac:dyDescent="0.35">
      <c r="A40" s="4" t="s">
        <v>45</v>
      </c>
      <c r="B40" s="4" t="s">
        <v>46</v>
      </c>
      <c r="C40" s="19">
        <v>5.8999999999999997E-2</v>
      </c>
      <c r="D40" s="4"/>
      <c r="E40" s="4"/>
      <c r="F40" s="4"/>
      <c r="G40" s="4"/>
      <c r="H40" s="4"/>
      <c r="I40" s="4"/>
      <c r="J40" s="4"/>
    </row>
    <row r="41" spans="1:10" x14ac:dyDescent="0.35">
      <c r="A41" s="4" t="s">
        <v>47</v>
      </c>
      <c r="B41" s="4" t="s">
        <v>48</v>
      </c>
      <c r="C41" s="19">
        <f>B11*C39+B12*C40</f>
        <v>8.620394304165907E-2</v>
      </c>
      <c r="D41" s="4"/>
      <c r="E41" s="4"/>
      <c r="F41" s="4"/>
      <c r="G41" s="4"/>
      <c r="H41" s="4"/>
      <c r="I41" s="4"/>
      <c r="J41" s="4"/>
    </row>
    <row r="42" spans="1:10" x14ac:dyDescent="0.35">
      <c r="A42" s="15" t="s">
        <v>49</v>
      </c>
      <c r="B42" s="4" t="s">
        <v>50</v>
      </c>
      <c r="C42" s="20">
        <f>MIN(C41,B10)</f>
        <v>8.620394304165907E-2</v>
      </c>
      <c r="D42" s="4"/>
      <c r="E42" s="4"/>
      <c r="F42" s="4"/>
      <c r="G42" s="4"/>
      <c r="H42" s="4"/>
      <c r="I42" s="4"/>
      <c r="J42" s="4"/>
    </row>
    <row r="43" spans="1:10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22" customHeight="1" x14ac:dyDescent="0.35">
      <c r="A44" s="5" t="s">
        <v>51</v>
      </c>
      <c r="B44" s="6"/>
      <c r="C44" s="6"/>
      <c r="D44" s="6"/>
      <c r="E44" s="6"/>
      <c r="F44" s="6"/>
      <c r="G44" s="6"/>
      <c r="H44" s="6"/>
      <c r="I44" s="4"/>
      <c r="J44" s="4"/>
    </row>
    <row r="45" spans="1:10" x14ac:dyDescent="0.35">
      <c r="A45" s="21" t="s">
        <v>52</v>
      </c>
      <c r="B45" s="4"/>
      <c r="C45" s="4"/>
      <c r="D45" s="4"/>
      <c r="E45" s="4"/>
      <c r="F45" s="4"/>
      <c r="G45" s="4"/>
      <c r="H45" s="4"/>
      <c r="I45" s="4"/>
      <c r="J45" s="4"/>
    </row>
    <row r="46" spans="1:10" x14ac:dyDescent="0.35">
      <c r="A46" s="13" t="s">
        <v>53</v>
      </c>
      <c r="B46" s="13" t="s">
        <v>36</v>
      </c>
      <c r="C46" s="13" t="s">
        <v>37</v>
      </c>
      <c r="D46" s="4"/>
      <c r="E46" s="4"/>
      <c r="F46" s="4"/>
      <c r="G46" s="4"/>
      <c r="H46" s="4"/>
      <c r="I46" s="4"/>
      <c r="J46" s="4"/>
    </row>
    <row r="47" spans="1:10" x14ac:dyDescent="0.35">
      <c r="A47" s="4" t="s">
        <v>3</v>
      </c>
      <c r="B47" s="4" t="s">
        <v>54</v>
      </c>
      <c r="C47" s="19">
        <f>B5</f>
        <v>4.4999999999999998E-2</v>
      </c>
      <c r="D47" s="4"/>
      <c r="E47" s="4"/>
      <c r="F47" s="4"/>
      <c r="G47" s="4"/>
      <c r="H47" s="4"/>
      <c r="I47" s="4"/>
      <c r="J47" s="4"/>
    </row>
    <row r="48" spans="1:10" x14ac:dyDescent="0.35">
      <c r="A48" s="4" t="s">
        <v>19</v>
      </c>
      <c r="B48" s="4" t="s">
        <v>55</v>
      </c>
      <c r="C48" s="22">
        <f>B20</f>
        <v>0.66500000000000004</v>
      </c>
      <c r="D48" s="4"/>
      <c r="E48" s="4"/>
      <c r="F48" s="4"/>
      <c r="G48" s="4"/>
      <c r="H48" s="4"/>
      <c r="I48" s="4"/>
      <c r="J48" s="4"/>
    </row>
    <row r="49" spans="1:10" x14ac:dyDescent="0.35">
      <c r="A49" s="4" t="s">
        <v>4</v>
      </c>
      <c r="B49" s="4" t="s">
        <v>56</v>
      </c>
      <c r="C49" s="19">
        <f>B6</f>
        <v>0.05</v>
      </c>
      <c r="D49" s="4"/>
      <c r="E49" s="4"/>
      <c r="F49" s="4"/>
      <c r="G49" s="4"/>
      <c r="H49" s="4"/>
      <c r="I49" s="4"/>
      <c r="J49" s="4"/>
    </row>
    <row r="50" spans="1:10" x14ac:dyDescent="0.35">
      <c r="A50" s="4" t="s">
        <v>57</v>
      </c>
      <c r="B50" s="4" t="s">
        <v>58</v>
      </c>
      <c r="C50" s="19">
        <f>B20*B6</f>
        <v>3.3250000000000002E-2</v>
      </c>
      <c r="D50" s="4"/>
      <c r="E50" s="4"/>
      <c r="F50" s="4"/>
      <c r="G50" s="4"/>
      <c r="H50" s="4"/>
      <c r="I50" s="4"/>
      <c r="J50" s="4"/>
    </row>
    <row r="51" spans="1:10" x14ac:dyDescent="0.35">
      <c r="A51" s="15" t="s">
        <v>59</v>
      </c>
      <c r="B51" s="4" t="s">
        <v>60</v>
      </c>
      <c r="C51" s="20">
        <f>B5+B20*B6</f>
        <v>7.825E-2</v>
      </c>
      <c r="D51" s="4"/>
      <c r="E51" s="4"/>
      <c r="F51" s="4"/>
      <c r="G51" s="4"/>
      <c r="H51" s="4"/>
      <c r="I51" s="4"/>
      <c r="J51" s="4"/>
    </row>
    <row r="52" spans="1:10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x14ac:dyDescent="0.35">
      <c r="A53" s="21" t="s">
        <v>61</v>
      </c>
      <c r="B53" s="4"/>
      <c r="C53" s="4"/>
      <c r="D53" s="4"/>
      <c r="E53" s="4"/>
      <c r="F53" s="4"/>
      <c r="G53" s="4"/>
      <c r="H53" s="4"/>
      <c r="I53" s="4"/>
      <c r="J53" s="4"/>
    </row>
    <row r="54" spans="1:10" x14ac:dyDescent="0.35">
      <c r="A54" s="13" t="s">
        <v>53</v>
      </c>
      <c r="B54" s="13" t="s">
        <v>36</v>
      </c>
      <c r="C54" s="13" t="s">
        <v>37</v>
      </c>
      <c r="D54" s="4"/>
      <c r="E54" s="4"/>
      <c r="F54" s="4"/>
      <c r="G54" s="4"/>
      <c r="H54" s="4"/>
      <c r="I54" s="4"/>
      <c r="J54" s="4"/>
    </row>
    <row r="55" spans="1:10" x14ac:dyDescent="0.35">
      <c r="A55" s="4" t="s">
        <v>62</v>
      </c>
      <c r="B55" s="4" t="s">
        <v>63</v>
      </c>
      <c r="C55" s="14">
        <f>E26</f>
        <v>419753000</v>
      </c>
      <c r="D55" s="4"/>
      <c r="E55" s="4"/>
      <c r="F55" s="4"/>
      <c r="G55" s="4"/>
      <c r="H55" s="4"/>
      <c r="I55" s="4"/>
      <c r="J55" s="4"/>
    </row>
    <row r="56" spans="1:10" x14ac:dyDescent="0.35">
      <c r="A56" s="4" t="s">
        <v>64</v>
      </c>
      <c r="B56" s="4" t="s">
        <v>63</v>
      </c>
      <c r="C56" s="14">
        <f>B30</f>
        <v>7660000000</v>
      </c>
      <c r="D56" s="4"/>
      <c r="E56" s="4"/>
      <c r="F56" s="4"/>
      <c r="G56" s="4"/>
      <c r="H56" s="4"/>
      <c r="I56" s="4"/>
      <c r="J56" s="4"/>
    </row>
    <row r="57" spans="1:10" x14ac:dyDescent="0.35">
      <c r="A57" s="4" t="s">
        <v>65</v>
      </c>
      <c r="B57" s="4" t="s">
        <v>66</v>
      </c>
      <c r="C57" s="19">
        <f>E26/B30</f>
        <v>5.479804177545692E-2</v>
      </c>
      <c r="D57" s="4"/>
      <c r="E57" s="4"/>
      <c r="F57" s="4"/>
      <c r="G57" s="4"/>
      <c r="H57" s="4"/>
      <c r="I57" s="4"/>
      <c r="J57" s="4"/>
    </row>
    <row r="58" spans="1:10" x14ac:dyDescent="0.35">
      <c r="A58" s="15" t="s">
        <v>67</v>
      </c>
      <c r="B58" s="4" t="s">
        <v>68</v>
      </c>
      <c r="C58" s="20">
        <f>C57*(1-B7)</f>
        <v>4.1098531331592691E-2</v>
      </c>
      <c r="D58" s="4"/>
      <c r="E58" s="4"/>
      <c r="F58" s="4"/>
      <c r="G58" s="4"/>
      <c r="H58" s="4"/>
      <c r="I58" s="4"/>
      <c r="J58" s="4"/>
    </row>
    <row r="59" spans="1:10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x14ac:dyDescent="0.35">
      <c r="A60" s="21" t="s">
        <v>69</v>
      </c>
      <c r="B60" s="4"/>
      <c r="C60" s="4"/>
      <c r="D60" s="4"/>
      <c r="E60" s="4"/>
      <c r="F60" s="4"/>
      <c r="G60" s="4"/>
      <c r="H60" s="4"/>
      <c r="I60" s="4"/>
      <c r="J60" s="4"/>
    </row>
    <row r="61" spans="1:10" x14ac:dyDescent="0.35">
      <c r="A61" s="13" t="s">
        <v>53</v>
      </c>
      <c r="B61" s="13" t="s">
        <v>70</v>
      </c>
      <c r="C61" s="13" t="s">
        <v>71</v>
      </c>
      <c r="D61" s="4"/>
      <c r="E61" s="4"/>
      <c r="F61" s="4"/>
      <c r="G61" s="4"/>
      <c r="H61" s="4"/>
      <c r="I61" s="4"/>
      <c r="J61" s="4"/>
    </row>
    <row r="62" spans="1:10" x14ac:dyDescent="0.35">
      <c r="A62" s="4" t="s">
        <v>72</v>
      </c>
      <c r="B62" s="14">
        <f>B19</f>
        <v>69880000000</v>
      </c>
      <c r="C62" s="19">
        <f>B19/(B19+B30)</f>
        <v>0.90121227753417588</v>
      </c>
      <c r="D62" s="4"/>
      <c r="E62" s="4"/>
      <c r="F62" s="4"/>
      <c r="G62" s="4"/>
      <c r="H62" s="4"/>
      <c r="I62" s="4"/>
      <c r="J62" s="4"/>
    </row>
    <row r="63" spans="1:10" x14ac:dyDescent="0.35">
      <c r="A63" s="4" t="s">
        <v>64</v>
      </c>
      <c r="B63" s="14">
        <f>B30</f>
        <v>7660000000</v>
      </c>
      <c r="C63" s="19">
        <f>B30/(B19+B30)</f>
        <v>9.8787722465824096E-2</v>
      </c>
      <c r="D63" s="4"/>
      <c r="E63" s="4"/>
      <c r="F63" s="4"/>
      <c r="G63" s="4"/>
      <c r="H63" s="4"/>
      <c r="I63" s="4"/>
      <c r="J63" s="4"/>
    </row>
    <row r="64" spans="1:10" x14ac:dyDescent="0.35">
      <c r="A64" s="15" t="s">
        <v>73</v>
      </c>
      <c r="B64" s="14">
        <f>B19+B30</f>
        <v>77540000000</v>
      </c>
      <c r="C64" s="19">
        <f>C62+C63</f>
        <v>1</v>
      </c>
      <c r="D64" s="4"/>
      <c r="E64" s="4"/>
      <c r="F64" s="4"/>
      <c r="G64" s="4"/>
      <c r="H64" s="4"/>
      <c r="I64" s="4"/>
      <c r="J64" s="4"/>
    </row>
    <row r="65" spans="1:10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x14ac:dyDescent="0.35">
      <c r="A66" s="21" t="s">
        <v>74</v>
      </c>
      <c r="B66" s="4"/>
      <c r="C66" s="4"/>
      <c r="D66" s="4"/>
      <c r="E66" s="4"/>
      <c r="F66" s="4"/>
      <c r="G66" s="4"/>
      <c r="H66" s="4"/>
      <c r="I66" s="4"/>
      <c r="J66" s="4"/>
    </row>
    <row r="67" spans="1:10" x14ac:dyDescent="0.35">
      <c r="A67" s="13" t="s">
        <v>53</v>
      </c>
      <c r="B67" s="13" t="s">
        <v>75</v>
      </c>
      <c r="C67" s="13" t="s">
        <v>37</v>
      </c>
      <c r="D67" s="4"/>
      <c r="E67" s="4"/>
      <c r="F67" s="4"/>
      <c r="G67" s="4"/>
      <c r="H67" s="4"/>
      <c r="I67" s="4"/>
      <c r="J67" s="4"/>
    </row>
    <row r="68" spans="1:10" x14ac:dyDescent="0.35">
      <c r="A68" s="4" t="s">
        <v>76</v>
      </c>
      <c r="B68" s="4" t="s">
        <v>77</v>
      </c>
      <c r="C68" s="19">
        <f>C62*C51</f>
        <v>7.0519860717049257E-2</v>
      </c>
      <c r="D68" s="4"/>
      <c r="E68" s="4"/>
      <c r="F68" s="4"/>
      <c r="G68" s="4"/>
      <c r="H68" s="4"/>
      <c r="I68" s="4"/>
      <c r="J68" s="4"/>
    </row>
    <row r="69" spans="1:10" x14ac:dyDescent="0.35">
      <c r="A69" s="4" t="s">
        <v>78</v>
      </c>
      <c r="B69" s="4" t="s">
        <v>79</v>
      </c>
      <c r="C69" s="19">
        <f>C63*C58</f>
        <v>4.060030306938355E-3</v>
      </c>
      <c r="D69" s="4"/>
      <c r="E69" s="4"/>
      <c r="F69" s="4"/>
      <c r="G69" s="4"/>
      <c r="H69" s="4"/>
      <c r="I69" s="4"/>
      <c r="J69" s="4"/>
    </row>
    <row r="70" spans="1:10" x14ac:dyDescent="0.35">
      <c r="A70" s="15" t="s">
        <v>80</v>
      </c>
      <c r="B70" s="4" t="s">
        <v>81</v>
      </c>
      <c r="C70" s="20">
        <f>C62*C51+C63*C58</f>
        <v>7.4579891023987613E-2</v>
      </c>
      <c r="D70" s="4"/>
      <c r="E70" s="4"/>
      <c r="F70" s="4"/>
      <c r="G70" s="4"/>
      <c r="H70" s="4"/>
      <c r="I70" s="4"/>
      <c r="J70" s="4"/>
    </row>
    <row r="71" spans="1:10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ht="22" customHeight="1" x14ac:dyDescent="0.35">
      <c r="A72" s="5" t="s">
        <v>82</v>
      </c>
      <c r="B72" s="6"/>
      <c r="C72" s="6"/>
      <c r="D72" s="6"/>
      <c r="E72" s="6"/>
      <c r="F72" s="6"/>
      <c r="G72" s="6"/>
      <c r="H72" s="6"/>
      <c r="I72" s="4"/>
      <c r="J72" s="4"/>
    </row>
    <row r="73" spans="1:10" x14ac:dyDescent="0.35">
      <c r="A73" s="13" t="s">
        <v>83</v>
      </c>
      <c r="B73" s="13" t="s">
        <v>84</v>
      </c>
      <c r="C73" s="13" t="s">
        <v>85</v>
      </c>
      <c r="D73" s="13" t="s">
        <v>86</v>
      </c>
      <c r="E73" s="13" t="s">
        <v>87</v>
      </c>
      <c r="F73" s="13" t="s">
        <v>88</v>
      </c>
      <c r="G73" s="13" t="s">
        <v>89</v>
      </c>
      <c r="H73" s="13" t="s">
        <v>90</v>
      </c>
      <c r="I73" s="4"/>
      <c r="J73" s="4"/>
    </row>
    <row r="74" spans="1:10" x14ac:dyDescent="0.35">
      <c r="A74" s="4" t="s">
        <v>91</v>
      </c>
      <c r="B74" s="4" t="s">
        <v>92</v>
      </c>
      <c r="C74" s="4" t="s">
        <v>92</v>
      </c>
      <c r="D74" s="4" t="s">
        <v>92</v>
      </c>
      <c r="E74" s="14">
        <f>E27</f>
        <v>3207139000</v>
      </c>
      <c r="F74" s="4" t="s">
        <v>92</v>
      </c>
      <c r="G74" s="4" t="s">
        <v>92</v>
      </c>
      <c r="H74" s="4" t="s">
        <v>92</v>
      </c>
      <c r="I74" s="4"/>
      <c r="J74" s="4"/>
    </row>
    <row r="75" spans="1:10" x14ac:dyDescent="0.35">
      <c r="A75" s="4" t="s">
        <v>93</v>
      </c>
      <c r="B75" s="19">
        <f>1-(1-1)/20</f>
        <v>1</v>
      </c>
      <c r="C75" s="19">
        <f>C42*B75</f>
        <v>8.620394304165907E-2</v>
      </c>
      <c r="D75" s="17">
        <f>1+C75</f>
        <v>1.086203943041659</v>
      </c>
      <c r="E75" s="14">
        <f>E74*D75</f>
        <v>3483607027.6826835</v>
      </c>
      <c r="F75" s="4">
        <v>1</v>
      </c>
      <c r="G75" s="17">
        <f>1/(1+C70)^F75</f>
        <v>0.93059623426144789</v>
      </c>
      <c r="H75" s="14">
        <f>E75*G75</f>
        <v>3241831581.6082206</v>
      </c>
      <c r="I75" s="4"/>
      <c r="J75" s="4"/>
    </row>
    <row r="76" spans="1:10" x14ac:dyDescent="0.35">
      <c r="A76" s="4" t="s">
        <v>94</v>
      </c>
      <c r="B76" s="19">
        <f>1-(2-1)/20</f>
        <v>0.95</v>
      </c>
      <c r="C76" s="19">
        <f>C42*B76</f>
        <v>8.1893745889576111E-2</v>
      </c>
      <c r="D76" s="17">
        <f>1+C76</f>
        <v>1.0818937458895761</v>
      </c>
      <c r="E76" s="14">
        <f>E75*D76</f>
        <v>3768892656.3868709</v>
      </c>
      <c r="F76" s="4">
        <v>2</v>
      </c>
      <c r="G76" s="17">
        <f>1/(1+C70)^F76</f>
        <v>0.86600935122158762</v>
      </c>
      <c r="H76" s="14">
        <f>E76*G76</f>
        <v>3263896284.1813998</v>
      </c>
      <c r="I76" s="4"/>
      <c r="J76" s="4"/>
    </row>
    <row r="77" spans="1:10" x14ac:dyDescent="0.35">
      <c r="A77" s="4" t="s">
        <v>95</v>
      </c>
      <c r="B77" s="19">
        <f>1-(3-1)/20</f>
        <v>0.9</v>
      </c>
      <c r="C77" s="19">
        <f>C42*B77</f>
        <v>7.7583548737493166E-2</v>
      </c>
      <c r="D77" s="17">
        <f>1+C77</f>
        <v>1.0775835487374932</v>
      </c>
      <c r="E77" s="14">
        <f>E76*D77</f>
        <v>4061296723.480042</v>
      </c>
      <c r="F77" s="4">
        <v>3</v>
      </c>
      <c r="G77" s="17">
        <f>1/(1+C70)^F77</f>
        <v>0.80590504108200922</v>
      </c>
      <c r="H77" s="14">
        <f>E77*G77</f>
        <v>3273019502.7824125</v>
      </c>
      <c r="I77" s="4"/>
      <c r="J77" s="4"/>
    </row>
    <row r="78" spans="1:10" x14ac:dyDescent="0.35">
      <c r="A78" s="4" t="s">
        <v>96</v>
      </c>
      <c r="B78" s="19">
        <f>1-(4-1)/20</f>
        <v>0.85</v>
      </c>
      <c r="C78" s="19">
        <f>C42*B78</f>
        <v>7.3273351585410207E-2</v>
      </c>
      <c r="D78" s="17">
        <f>1+C78</f>
        <v>1.0732733515854103</v>
      </c>
      <c r="E78" s="14">
        <f>E77*D78</f>
        <v>4358881546.1922703</v>
      </c>
      <c r="F78" s="4">
        <v>4</v>
      </c>
      <c r="G78" s="17">
        <f>1/(1+C70)^F78</f>
        <v>0.7499721964032352</v>
      </c>
      <c r="H78" s="14">
        <f>E78*G78</f>
        <v>3269039967.0593467</v>
      </c>
      <c r="I78" s="4"/>
      <c r="J78" s="4"/>
    </row>
    <row r="79" spans="1:10" x14ac:dyDescent="0.35">
      <c r="A79" s="4" t="s">
        <v>97</v>
      </c>
      <c r="B79" s="19">
        <f>1-(5-1)/20</f>
        <v>0.8</v>
      </c>
      <c r="C79" s="19">
        <f>C42*B79</f>
        <v>6.8963154433327262E-2</v>
      </c>
      <c r="D79" s="17">
        <f>1+C79</f>
        <v>1.0689631544333273</v>
      </c>
      <c r="E79" s="14">
        <f>E78*D79</f>
        <v>4659483767.4189081</v>
      </c>
      <c r="F79" s="4">
        <v>5</v>
      </c>
      <c r="G79" s="17">
        <f>1/(1+C70)^F79</f>
        <v>0.69792130177363765</v>
      </c>
      <c r="H79" s="14">
        <f>E79*G79</f>
        <v>3251952976.550138</v>
      </c>
      <c r="I79" s="4"/>
      <c r="J79" s="4"/>
    </row>
    <row r="80" spans="1:10" x14ac:dyDescent="0.35">
      <c r="A80" s="4" t="s">
        <v>98</v>
      </c>
      <c r="B80" s="19">
        <f>1-(6-1)/20</f>
        <v>0.75</v>
      </c>
      <c r="C80" s="19">
        <f>C42*B80</f>
        <v>6.4652957281244303E-2</v>
      </c>
      <c r="D80" s="17">
        <f>1+C80</f>
        <v>1.0646529572812442</v>
      </c>
      <c r="E80" s="14">
        <f>E79*D80</f>
        <v>4960733172.3864937</v>
      </c>
      <c r="F80" s="4">
        <v>6</v>
      </c>
      <c r="G80" s="17">
        <f>1/(1+C70)^F80</f>
        <v>0.64948293524139478</v>
      </c>
      <c r="H80" s="14">
        <f>E80*G80</f>
        <v>3221911541.750936</v>
      </c>
      <c r="I80" s="4"/>
      <c r="J80" s="4"/>
    </row>
    <row r="81" spans="1:10" x14ac:dyDescent="0.35">
      <c r="A81" s="4" t="s">
        <v>99</v>
      </c>
      <c r="B81" s="19">
        <f>1-(7-1)/20</f>
        <v>0.7</v>
      </c>
      <c r="C81" s="19">
        <f>C42*B81</f>
        <v>6.0342760129161344E-2</v>
      </c>
      <c r="D81" s="17">
        <f>1+C81</f>
        <v>1.0603427601291613</v>
      </c>
      <c r="E81" s="14">
        <f>E80*D81</f>
        <v>5260077504.2725849</v>
      </c>
      <c r="F81" s="4">
        <v>7</v>
      </c>
      <c r="G81" s="17">
        <f>1/(1+C70)^F81</f>
        <v>0.604406373752714</v>
      </c>
      <c r="H81" s="14">
        <f>E81*G81</f>
        <v>3179224370.0156188</v>
      </c>
      <c r="I81" s="4"/>
      <c r="J81" s="4"/>
    </row>
    <row r="82" spans="1:10" x14ac:dyDescent="0.35">
      <c r="A82" s="4" t="s">
        <v>100</v>
      </c>
      <c r="B82" s="19">
        <f>1-(8-1)/20</f>
        <v>0.65</v>
      </c>
      <c r="C82" s="19">
        <f>C42*B82</f>
        <v>5.6032562977078398E-2</v>
      </c>
      <c r="D82" s="17">
        <f>1+C82</f>
        <v>1.0560325629770784</v>
      </c>
      <c r="E82" s="14">
        <f>E81*D82</f>
        <v>5554813128.2950516</v>
      </c>
      <c r="F82" s="4">
        <v>8</v>
      </c>
      <c r="G82" s="17">
        <f>1/(1+C70)^F82</f>
        <v>0.56245829537789283</v>
      </c>
      <c r="H82" s="14">
        <f>E82*G82</f>
        <v>3124350723.2835751</v>
      </c>
      <c r="I82" s="4"/>
      <c r="J82" s="4"/>
    </row>
    <row r="83" spans="1:10" x14ac:dyDescent="0.35">
      <c r="A83" s="4" t="s">
        <v>101</v>
      </c>
      <c r="B83" s="19">
        <f>1-(9-1)/20</f>
        <v>0.6</v>
      </c>
      <c r="C83" s="19">
        <f>C42*B83</f>
        <v>5.1722365824995439E-2</v>
      </c>
      <c r="D83" s="17">
        <f>1+C83</f>
        <v>1.0517223658249955</v>
      </c>
      <c r="E83" s="14">
        <f>E82*D83</f>
        <v>5842121205.006216</v>
      </c>
      <c r="F83" s="4">
        <v>9</v>
      </c>
      <c r="G83" s="17">
        <f>1/(1+C70)^F83</f>
        <v>0.52342157160778024</v>
      </c>
      <c r="H83" s="14">
        <f>E83*G83</f>
        <v>3057892262.6474924</v>
      </c>
      <c r="I83" s="4"/>
      <c r="J83" s="4"/>
    </row>
    <row r="84" spans="1:10" x14ac:dyDescent="0.35">
      <c r="A84" s="4" t="s">
        <v>102</v>
      </c>
      <c r="B84" s="19">
        <f>1-(10-1)/20</f>
        <v>0.55000000000000004</v>
      </c>
      <c r="C84" s="19">
        <f>C42*B84</f>
        <v>4.7412168672912494E-2</v>
      </c>
      <c r="D84" s="17">
        <f>1+C84</f>
        <v>1.0474121686729125</v>
      </c>
      <c r="E84" s="14">
        <f>E83*D84</f>
        <v>6119108840.98557</v>
      </c>
      <c r="F84" s="4">
        <v>10</v>
      </c>
      <c r="G84" s="17">
        <f>1/(1+C70)^F84</f>
        <v>0.48709414346940916</v>
      </c>
      <c r="H84" s="14">
        <f>E84*G84</f>
        <v>2980582079.6959553</v>
      </c>
      <c r="I84" s="4"/>
      <c r="J84" s="4"/>
    </row>
    <row r="85" spans="1:10" x14ac:dyDescent="0.35">
      <c r="A85" s="15" t="s">
        <v>103</v>
      </c>
      <c r="B85" s="4"/>
      <c r="C85" s="4"/>
      <c r="D85" s="4"/>
      <c r="E85" s="4"/>
      <c r="F85" s="4"/>
      <c r="G85" s="4"/>
      <c r="H85" s="23">
        <f>SUM(H75:H84)</f>
        <v>31863701289.575089</v>
      </c>
      <c r="I85" s="4"/>
      <c r="J85" s="4"/>
    </row>
    <row r="86" spans="1:10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ht="22" customHeight="1" x14ac:dyDescent="0.35">
      <c r="A87" s="5" t="s">
        <v>104</v>
      </c>
      <c r="B87" s="6"/>
      <c r="C87" s="6"/>
      <c r="D87" s="6"/>
      <c r="E87" s="6"/>
      <c r="F87" s="6"/>
      <c r="G87" s="6"/>
      <c r="H87" s="6"/>
      <c r="I87" s="4"/>
      <c r="J87" s="4"/>
    </row>
    <row r="88" spans="1:10" x14ac:dyDescent="0.35">
      <c r="A88" s="13" t="s">
        <v>35</v>
      </c>
      <c r="B88" s="13" t="s">
        <v>36</v>
      </c>
      <c r="C88" s="13" t="s">
        <v>37</v>
      </c>
      <c r="D88" s="4"/>
      <c r="E88" s="4"/>
      <c r="F88" s="4"/>
      <c r="G88" s="4"/>
      <c r="H88" s="4"/>
      <c r="I88" s="4"/>
      <c r="J88" s="4"/>
    </row>
    <row r="89" spans="1:10" x14ac:dyDescent="0.35">
      <c r="A89" s="4" t="s">
        <v>105</v>
      </c>
      <c r="B89" s="4" t="s">
        <v>106</v>
      </c>
      <c r="C89" s="14">
        <f>E84</f>
        <v>6119108840.98557</v>
      </c>
      <c r="D89" s="4"/>
      <c r="E89" s="4"/>
      <c r="F89" s="4"/>
      <c r="G89" s="4"/>
      <c r="H89" s="4"/>
      <c r="I89" s="4"/>
      <c r="J89" s="4"/>
    </row>
    <row r="90" spans="1:10" x14ac:dyDescent="0.35">
      <c r="A90" s="4" t="s">
        <v>107</v>
      </c>
      <c r="B90" s="4" t="s">
        <v>108</v>
      </c>
      <c r="C90" s="19">
        <f>B8</f>
        <v>2.5000000000000001E-2</v>
      </c>
      <c r="D90" s="4"/>
      <c r="E90" s="4"/>
      <c r="F90" s="4"/>
      <c r="G90" s="4"/>
      <c r="H90" s="4"/>
      <c r="I90" s="4"/>
      <c r="J90" s="4"/>
    </row>
    <row r="91" spans="1:10" x14ac:dyDescent="0.35">
      <c r="A91" s="4" t="s">
        <v>109</v>
      </c>
      <c r="B91" s="4" t="s">
        <v>110</v>
      </c>
      <c r="C91" s="14">
        <f>E84*(1+B8)</f>
        <v>6272086562.0102091</v>
      </c>
      <c r="D91" s="4"/>
      <c r="E91" s="4"/>
      <c r="F91" s="4"/>
      <c r="G91" s="4"/>
      <c r="H91" s="4"/>
      <c r="I91" s="4"/>
      <c r="J91" s="4"/>
    </row>
    <row r="92" spans="1:10" x14ac:dyDescent="0.35">
      <c r="A92" s="4" t="s">
        <v>111</v>
      </c>
      <c r="B92" s="4" t="s">
        <v>112</v>
      </c>
      <c r="C92" s="19">
        <f>C70-B8</f>
        <v>4.9579891023987611E-2</v>
      </c>
      <c r="D92" s="4"/>
      <c r="E92" s="4"/>
      <c r="F92" s="4"/>
      <c r="G92" s="4"/>
      <c r="H92" s="4"/>
      <c r="I92" s="4"/>
      <c r="J92" s="4"/>
    </row>
    <row r="93" spans="1:10" x14ac:dyDescent="0.35">
      <c r="A93" s="15" t="s">
        <v>113</v>
      </c>
      <c r="B93" s="4" t="s">
        <v>114</v>
      </c>
      <c r="C93" s="24">
        <f>C91/C92</f>
        <v>126504645985.92329</v>
      </c>
      <c r="D93" s="4"/>
      <c r="E93" s="4"/>
      <c r="F93" s="4"/>
      <c r="G93" s="4"/>
      <c r="H93" s="4"/>
      <c r="I93" s="4"/>
      <c r="J93" s="4"/>
    </row>
    <row r="94" spans="1:10" x14ac:dyDescent="0.35">
      <c r="A94" s="4" t="s">
        <v>115</v>
      </c>
      <c r="B94" s="4" t="s">
        <v>116</v>
      </c>
      <c r="C94" s="17">
        <f>G84</f>
        <v>0.48709414346940916</v>
      </c>
      <c r="D94" s="4"/>
      <c r="E94" s="4"/>
      <c r="F94" s="4"/>
      <c r="G94" s="4"/>
      <c r="H94" s="4"/>
      <c r="I94" s="4"/>
      <c r="J94" s="4"/>
    </row>
    <row r="95" spans="1:10" x14ac:dyDescent="0.35">
      <c r="A95" s="15" t="s">
        <v>117</v>
      </c>
      <c r="B95" s="4" t="s">
        <v>118</v>
      </c>
      <c r="C95" s="23">
        <f>C93*G84</f>
        <v>61619672181.414139</v>
      </c>
      <c r="D95" s="4"/>
      <c r="E95" s="4"/>
      <c r="F95" s="4"/>
      <c r="G95" s="4"/>
      <c r="H95" s="4"/>
      <c r="I95" s="4"/>
      <c r="J95" s="4"/>
    </row>
    <row r="96" spans="1:10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 ht="22" customHeight="1" x14ac:dyDescent="0.35">
      <c r="A97" s="5" t="s">
        <v>119</v>
      </c>
      <c r="B97" s="6"/>
      <c r="C97" s="6"/>
      <c r="D97" s="6"/>
      <c r="E97" s="6"/>
      <c r="F97" s="6"/>
      <c r="G97" s="6"/>
      <c r="H97" s="6"/>
      <c r="I97" s="4"/>
      <c r="J97" s="4"/>
    </row>
    <row r="98" spans="1:10" x14ac:dyDescent="0.35">
      <c r="A98" s="13" t="s">
        <v>53</v>
      </c>
      <c r="B98" s="13" t="s">
        <v>36</v>
      </c>
      <c r="C98" s="13" t="s">
        <v>70</v>
      </c>
      <c r="D98" s="4"/>
      <c r="E98" s="4"/>
      <c r="F98" s="4"/>
      <c r="G98" s="4"/>
      <c r="H98" s="4"/>
      <c r="I98" s="4"/>
      <c r="J98" s="4"/>
    </row>
    <row r="99" spans="1:10" x14ac:dyDescent="0.35">
      <c r="A99" s="4" t="s">
        <v>120</v>
      </c>
      <c r="B99" s="4" t="s">
        <v>106</v>
      </c>
      <c r="C99" s="14">
        <f>H85</f>
        <v>31863701289.575089</v>
      </c>
      <c r="D99" s="4"/>
      <c r="E99" s="4"/>
      <c r="F99" s="4"/>
      <c r="G99" s="4"/>
      <c r="H99" s="4"/>
      <c r="I99" s="4"/>
      <c r="J99" s="4"/>
    </row>
    <row r="100" spans="1:10" x14ac:dyDescent="0.35">
      <c r="A100" s="4" t="s">
        <v>121</v>
      </c>
      <c r="B100" s="4" t="s">
        <v>122</v>
      </c>
      <c r="C100" s="14">
        <f>C95</f>
        <v>61619672181.414139</v>
      </c>
      <c r="D100" s="4"/>
      <c r="E100" s="4"/>
      <c r="F100" s="4"/>
      <c r="G100" s="4"/>
      <c r="H100" s="4"/>
      <c r="I100" s="4"/>
      <c r="J100" s="4"/>
    </row>
    <row r="101" spans="1:10" x14ac:dyDescent="0.35">
      <c r="A101" s="15" t="s">
        <v>123</v>
      </c>
      <c r="B101" s="4" t="s">
        <v>124</v>
      </c>
      <c r="C101" s="16">
        <f>H85+C95</f>
        <v>93483373470.989227</v>
      </c>
      <c r="D101" s="4"/>
      <c r="E101" s="4"/>
      <c r="F101" s="4"/>
      <c r="G101" s="4"/>
      <c r="H101" s="4"/>
      <c r="I101" s="4"/>
      <c r="J101" s="4"/>
    </row>
    <row r="102" spans="1:10" x14ac:dyDescent="0.35">
      <c r="A102" s="4" t="s">
        <v>125</v>
      </c>
      <c r="B102" s="4" t="s">
        <v>126</v>
      </c>
      <c r="C102" s="25">
        <f>-B30</f>
        <v>-7660000000</v>
      </c>
      <c r="D102" s="4"/>
      <c r="E102" s="4"/>
      <c r="F102" s="4"/>
      <c r="G102" s="4"/>
      <c r="H102" s="4"/>
      <c r="I102" s="4"/>
      <c r="J102" s="4"/>
    </row>
    <row r="103" spans="1:10" x14ac:dyDescent="0.35">
      <c r="A103" s="4" t="s">
        <v>127</v>
      </c>
      <c r="B103" s="4" t="s">
        <v>126</v>
      </c>
      <c r="C103" s="26">
        <f>B31</f>
        <v>4360000000</v>
      </c>
      <c r="D103" s="4"/>
      <c r="E103" s="4"/>
      <c r="F103" s="4"/>
      <c r="G103" s="4"/>
      <c r="H103" s="4"/>
      <c r="I103" s="4"/>
      <c r="J103" s="4"/>
    </row>
    <row r="104" spans="1:10" x14ac:dyDescent="0.35">
      <c r="A104" s="15" t="s">
        <v>128</v>
      </c>
      <c r="B104" s="4" t="s">
        <v>129</v>
      </c>
      <c r="C104" s="23">
        <f>C101-B30+B31</f>
        <v>90183373470.989227</v>
      </c>
      <c r="D104" s="4"/>
      <c r="E104" s="4"/>
      <c r="F104" s="4"/>
      <c r="G104" s="4"/>
      <c r="H104" s="4"/>
      <c r="I104" s="4"/>
      <c r="J104" s="4"/>
    </row>
    <row r="105" spans="1:10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 ht="22" customHeight="1" x14ac:dyDescent="0.35">
      <c r="A106" s="5" t="s">
        <v>130</v>
      </c>
      <c r="B106" s="6"/>
      <c r="C106" s="6"/>
      <c r="D106" s="6"/>
      <c r="E106" s="6"/>
      <c r="F106" s="6"/>
      <c r="G106" s="6"/>
      <c r="H106" s="6"/>
      <c r="I106" s="4"/>
      <c r="J106" s="4"/>
    </row>
    <row r="107" spans="1:10" x14ac:dyDescent="0.35">
      <c r="A107" s="13" t="s">
        <v>131</v>
      </c>
      <c r="B107" s="13" t="s">
        <v>36</v>
      </c>
      <c r="C107" s="13" t="s">
        <v>132</v>
      </c>
      <c r="D107" s="4"/>
      <c r="E107" s="4"/>
      <c r="F107" s="4"/>
      <c r="G107" s="4"/>
      <c r="H107" s="4"/>
      <c r="I107" s="4"/>
      <c r="J107" s="4"/>
    </row>
    <row r="108" spans="1:10" x14ac:dyDescent="0.35">
      <c r="A108" s="4" t="s">
        <v>133</v>
      </c>
      <c r="B108" s="4" t="s">
        <v>134</v>
      </c>
      <c r="C108" s="14">
        <f>C104</f>
        <v>90183373470.989227</v>
      </c>
      <c r="D108" s="4"/>
      <c r="E108" s="4"/>
      <c r="F108" s="4"/>
      <c r="G108" s="4"/>
      <c r="H108" s="4"/>
      <c r="I108" s="4"/>
      <c r="J108" s="4"/>
    </row>
    <row r="109" spans="1:10" x14ac:dyDescent="0.35">
      <c r="A109" s="4" t="s">
        <v>17</v>
      </c>
      <c r="B109" s="4" t="s">
        <v>63</v>
      </c>
      <c r="C109" s="27">
        <f>B18</f>
        <v>194526076</v>
      </c>
      <c r="D109" s="4"/>
      <c r="E109" s="4"/>
      <c r="F109" s="4"/>
      <c r="G109" s="4"/>
      <c r="H109" s="4"/>
      <c r="I109" s="4"/>
      <c r="J109" s="4"/>
    </row>
    <row r="110" spans="1:10" ht="18.5" x14ac:dyDescent="0.45">
      <c r="A110" s="15" t="s">
        <v>135</v>
      </c>
      <c r="B110" s="4" t="s">
        <v>136</v>
      </c>
      <c r="C110" s="28">
        <f>C104/B18</f>
        <v>463.60557579431782</v>
      </c>
      <c r="D110" s="4"/>
      <c r="E110" s="4"/>
      <c r="F110" s="4"/>
      <c r="G110" s="4"/>
      <c r="H110" s="4"/>
      <c r="I110" s="4"/>
      <c r="J110" s="4"/>
    </row>
    <row r="111" spans="1:10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 ht="22" customHeight="1" x14ac:dyDescent="0.35">
      <c r="A112" s="5" t="s">
        <v>137</v>
      </c>
      <c r="B112" s="6"/>
      <c r="C112" s="6"/>
      <c r="D112" s="6"/>
      <c r="E112" s="6"/>
      <c r="F112" s="6"/>
      <c r="G112" s="6"/>
      <c r="H112" s="6"/>
      <c r="I112" s="4"/>
      <c r="J112" s="4"/>
    </row>
    <row r="113" spans="1:10" x14ac:dyDescent="0.35">
      <c r="A113" s="13" t="s">
        <v>131</v>
      </c>
      <c r="B113" s="13" t="s">
        <v>132</v>
      </c>
      <c r="C113" s="13" t="s">
        <v>138</v>
      </c>
      <c r="D113" s="4"/>
      <c r="E113" s="4"/>
      <c r="F113" s="4"/>
      <c r="G113" s="4"/>
      <c r="H113" s="4"/>
      <c r="I113" s="4"/>
      <c r="J113" s="4"/>
    </row>
    <row r="114" spans="1:10" x14ac:dyDescent="0.35">
      <c r="A114" s="4" t="s">
        <v>139</v>
      </c>
      <c r="B114" s="29">
        <f>B17</f>
        <v>359.22</v>
      </c>
      <c r="C114" s="4" t="s">
        <v>140</v>
      </c>
      <c r="D114" s="4"/>
      <c r="E114" s="4"/>
      <c r="F114" s="4"/>
      <c r="G114" s="4"/>
      <c r="H114" s="4"/>
      <c r="I114" s="4"/>
      <c r="J114" s="4"/>
    </row>
    <row r="115" spans="1:10" x14ac:dyDescent="0.35">
      <c r="A115" s="4" t="s">
        <v>141</v>
      </c>
      <c r="B115" s="29">
        <f>C110</f>
        <v>463.60557579431782</v>
      </c>
      <c r="C115" s="4" t="s">
        <v>142</v>
      </c>
      <c r="D115" s="4"/>
      <c r="E115" s="4"/>
      <c r="F115" s="4"/>
      <c r="G115" s="4"/>
      <c r="H115" s="4"/>
      <c r="I115" s="4"/>
      <c r="J115" s="4"/>
    </row>
    <row r="116" spans="1:10" x14ac:dyDescent="0.35">
      <c r="A116" s="4" t="s">
        <v>143</v>
      </c>
      <c r="B116" s="29">
        <v>822.5</v>
      </c>
      <c r="C116" s="4" t="s">
        <v>144</v>
      </c>
      <c r="D116" s="4"/>
      <c r="E116" s="4"/>
      <c r="F116" s="4"/>
      <c r="G116" s="4"/>
      <c r="H116" s="4"/>
      <c r="I116" s="4"/>
      <c r="J116" s="4"/>
    </row>
    <row r="117" spans="1:10" x14ac:dyDescent="0.35">
      <c r="A117" s="4" t="s">
        <v>145</v>
      </c>
      <c r="B117" s="29">
        <v>583.02</v>
      </c>
      <c r="C117" s="4" t="s">
        <v>146</v>
      </c>
      <c r="D117" s="4"/>
      <c r="E117" s="4"/>
      <c r="F117" s="4"/>
      <c r="G117" s="4"/>
      <c r="H117" s="4"/>
      <c r="I117" s="4"/>
      <c r="J117" s="4"/>
    </row>
    <row r="118" spans="1:10" x14ac:dyDescent="0.35">
      <c r="A118" s="15" t="s">
        <v>147</v>
      </c>
      <c r="B118" s="30">
        <f>(C110-B17)/B17</f>
        <v>0.29058954343944599</v>
      </c>
      <c r="C118" s="4" t="s">
        <v>148</v>
      </c>
      <c r="D118" s="4"/>
      <c r="E118" s="4"/>
      <c r="F118" s="4"/>
      <c r="G118" s="4"/>
      <c r="H118" s="4"/>
      <c r="I118" s="4"/>
      <c r="J118" s="4"/>
    </row>
    <row r="119" spans="1:10" x14ac:dyDescent="0.35">
      <c r="A119" s="15" t="s">
        <v>149</v>
      </c>
      <c r="B119" s="31">
        <f>(B116-B17)/B17</f>
        <v>1.289683202494293</v>
      </c>
      <c r="C119" s="4" t="s">
        <v>150</v>
      </c>
      <c r="D119" s="4"/>
      <c r="E119" s="4"/>
      <c r="F119" s="4"/>
      <c r="G119" s="4"/>
      <c r="H119" s="4"/>
      <c r="I119" s="4"/>
      <c r="J119" s="4"/>
    </row>
    <row r="120" spans="1:10" x14ac:dyDescent="0.35">
      <c r="A120" s="4" t="s">
        <v>151</v>
      </c>
      <c r="B120" s="19">
        <v>0.97219999999999995</v>
      </c>
      <c r="C120" s="4" t="s">
        <v>152</v>
      </c>
      <c r="D120" s="4"/>
      <c r="E120" s="4"/>
      <c r="F120" s="4"/>
      <c r="G120" s="4"/>
      <c r="H120" s="4"/>
      <c r="I120" s="4"/>
      <c r="J120" s="4"/>
    </row>
    <row r="121" spans="1:10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 ht="22" customHeight="1" x14ac:dyDescent="0.35">
      <c r="A122" s="5" t="s">
        <v>153</v>
      </c>
      <c r="B122" s="6"/>
      <c r="C122" s="6"/>
      <c r="D122" s="6"/>
      <c r="E122" s="6"/>
      <c r="F122" s="6"/>
      <c r="G122" s="6"/>
      <c r="H122" s="6"/>
      <c r="I122" s="4"/>
      <c r="J122" s="4"/>
    </row>
    <row r="123" spans="1:10" x14ac:dyDescent="0.35">
      <c r="A123" s="13" t="s">
        <v>53</v>
      </c>
      <c r="B123" s="13" t="s">
        <v>70</v>
      </c>
      <c r="C123" s="13" t="s">
        <v>154</v>
      </c>
      <c r="D123" s="4"/>
      <c r="E123" s="4"/>
      <c r="F123" s="4"/>
      <c r="G123" s="4"/>
      <c r="H123" s="4"/>
      <c r="I123" s="4"/>
      <c r="J123" s="4"/>
    </row>
    <row r="124" spans="1:10" x14ac:dyDescent="0.35">
      <c r="A124" s="4" t="s">
        <v>120</v>
      </c>
      <c r="B124" s="14">
        <f>H85</f>
        <v>31863701289.575089</v>
      </c>
      <c r="C124" s="32">
        <f>H85/C101</f>
        <v>0.34084886013942767</v>
      </c>
      <c r="D124" s="4"/>
      <c r="E124" s="4"/>
      <c r="F124" s="4"/>
      <c r="G124" s="4"/>
      <c r="H124" s="4"/>
      <c r="I124" s="4"/>
      <c r="J124" s="4"/>
    </row>
    <row r="125" spans="1:10" x14ac:dyDescent="0.35">
      <c r="A125" s="4" t="s">
        <v>121</v>
      </c>
      <c r="B125" s="14">
        <f>C95</f>
        <v>61619672181.414139</v>
      </c>
      <c r="C125" s="32">
        <f>C95/C101</f>
        <v>0.65915113986057239</v>
      </c>
      <c r="D125" s="4"/>
      <c r="E125" s="4"/>
      <c r="F125" s="4"/>
      <c r="G125" s="4"/>
      <c r="H125" s="4"/>
      <c r="I125" s="4"/>
      <c r="J125" s="4"/>
    </row>
    <row r="126" spans="1:10" x14ac:dyDescent="0.35">
      <c r="A126" s="15" t="s">
        <v>155</v>
      </c>
      <c r="B126" s="24">
        <f>C101</f>
        <v>93483373470.989227</v>
      </c>
      <c r="C126" s="33">
        <v>1</v>
      </c>
      <c r="D126" s="4"/>
      <c r="E126" s="4"/>
      <c r="F126" s="4"/>
      <c r="G126" s="4"/>
      <c r="H126" s="4"/>
      <c r="I126" s="4"/>
      <c r="J126" s="4"/>
    </row>
    <row r="127" spans="1:10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 ht="22" customHeight="1" x14ac:dyDescent="0.35">
      <c r="A128" s="5" t="s">
        <v>156</v>
      </c>
      <c r="B128" s="6"/>
      <c r="C128" s="6"/>
      <c r="D128" s="6"/>
      <c r="E128" s="6"/>
      <c r="F128" s="6"/>
      <c r="G128" s="6"/>
      <c r="H128" s="6"/>
      <c r="I128" s="4"/>
      <c r="J128" s="4"/>
    </row>
    <row r="129" spans="1:10" x14ac:dyDescent="0.35">
      <c r="A129" s="13" t="s">
        <v>131</v>
      </c>
      <c r="B129" s="13" t="s">
        <v>36</v>
      </c>
      <c r="C129" s="13" t="s">
        <v>132</v>
      </c>
      <c r="D129" s="4"/>
      <c r="E129" s="4"/>
      <c r="F129" s="4"/>
      <c r="G129" s="4"/>
      <c r="H129" s="4"/>
      <c r="I129" s="4"/>
      <c r="J129" s="4"/>
    </row>
    <row r="130" spans="1:10" x14ac:dyDescent="0.35">
      <c r="A130" s="4" t="s">
        <v>157</v>
      </c>
      <c r="B130" s="4" t="s">
        <v>158</v>
      </c>
      <c r="C130" s="19">
        <f>E27/E24</f>
        <v>9.9807390044401277E-3</v>
      </c>
      <c r="D130" s="4"/>
      <c r="E130" s="4"/>
      <c r="F130" s="4"/>
      <c r="G130" s="4"/>
      <c r="H130" s="4"/>
      <c r="I130" s="4"/>
      <c r="J130" s="4"/>
    </row>
    <row r="131" spans="1:10" x14ac:dyDescent="0.35">
      <c r="A131" s="4" t="s">
        <v>159</v>
      </c>
      <c r="B131" s="4" t="s">
        <v>160</v>
      </c>
      <c r="C131" s="34">
        <f>C101/E27</f>
        <v>29.148525670695665</v>
      </c>
      <c r="D131" s="4"/>
      <c r="E131" s="4"/>
      <c r="F131" s="4"/>
      <c r="G131" s="4"/>
      <c r="H131" s="4"/>
      <c r="I131" s="4"/>
      <c r="J131" s="4"/>
    </row>
    <row r="132" spans="1:10" x14ac:dyDescent="0.35">
      <c r="A132" s="4" t="s">
        <v>161</v>
      </c>
      <c r="B132" s="4" t="s">
        <v>162</v>
      </c>
      <c r="C132" s="32">
        <f>B30/B19</f>
        <v>0.10961648540354894</v>
      </c>
      <c r="D132" s="4"/>
      <c r="E132" s="4"/>
      <c r="F132" s="4"/>
      <c r="G132" s="4"/>
      <c r="H132" s="4"/>
      <c r="I132" s="4"/>
      <c r="J132" s="4"/>
    </row>
    <row r="133" spans="1:10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</row>
  </sheetData>
  <mergeCells count="15">
    <mergeCell ref="A112:H112"/>
    <mergeCell ref="A122:H122"/>
    <mergeCell ref="A128:H128"/>
    <mergeCell ref="A34:H34"/>
    <mergeCell ref="A44:H44"/>
    <mergeCell ref="A72:H72"/>
    <mergeCell ref="A87:H87"/>
    <mergeCell ref="A97:H97"/>
    <mergeCell ref="A106:H106"/>
    <mergeCell ref="A1:J1"/>
    <mergeCell ref="A2:J2"/>
    <mergeCell ref="A4:H4"/>
    <mergeCell ref="A14:H14"/>
    <mergeCell ref="A22:H22"/>
    <mergeCell ref="A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COR_DCF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Soussan</dc:creator>
  <cp:lastModifiedBy>Josh Soussan</cp:lastModifiedBy>
  <dcterms:created xsi:type="dcterms:W3CDTF">2026-02-01T16:48:46Z</dcterms:created>
  <dcterms:modified xsi:type="dcterms:W3CDTF">2026-02-01T16:53:14Z</dcterms:modified>
</cp:coreProperties>
</file>